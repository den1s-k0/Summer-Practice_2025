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BSU\SummerPractice 2025 Korol Denis\"/>
    </mc:Choice>
  </mc:AlternateContent>
  <xr:revisionPtr revIDLastSave="0" documentId="13_ncr:1_{63EF6AF2-B1E4-4332-AB96-1B8C9899C136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УП TaskManag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2" l="1"/>
  <c r="F31" i="2"/>
  <c r="F3" i="2"/>
  <c r="F2" i="2"/>
  <c r="F22" i="2"/>
  <c r="F20" i="2"/>
  <c r="F17" i="2"/>
  <c r="F14" i="2"/>
  <c r="F15" i="2"/>
  <c r="F13" i="2"/>
  <c r="F16" i="2"/>
  <c r="F8" i="2"/>
  <c r="F9" i="2"/>
  <c r="F10" i="2"/>
  <c r="F11" i="2"/>
  <c r="F12" i="2"/>
  <c r="H14" i="2" s="1"/>
  <c r="F18" i="2"/>
  <c r="F19" i="2"/>
  <c r="F21" i="2"/>
  <c r="H22" i="2" s="1"/>
  <c r="F24" i="2"/>
  <c r="F25" i="2"/>
  <c r="F26" i="2"/>
  <c r="F27" i="2"/>
  <c r="F28" i="2"/>
  <c r="F29" i="2"/>
  <c r="F30" i="2"/>
  <c r="F32" i="2"/>
  <c r="H32" i="2" s="1"/>
  <c r="F4" i="2"/>
  <c r="F6" i="2"/>
  <c r="F5" i="2"/>
  <c r="F7" i="2"/>
  <c r="H3" i="2"/>
  <c r="H7" i="2" l="1"/>
  <c r="H25" i="2"/>
  <c r="H17" i="2"/>
  <c r="H20" i="2"/>
  <c r="H31" i="2"/>
  <c r="H28" i="2"/>
  <c r="H11" i="2"/>
  <c r="H9" i="2"/>
</calcChain>
</file>

<file path=xl/sharedStrings.xml><?xml version="1.0" encoding="utf-8"?>
<sst xmlns="http://schemas.openxmlformats.org/spreadsheetml/2006/main" count="71" uniqueCount="41">
  <si>
    <t>№ за день</t>
  </si>
  <si>
    <t>Что делал?</t>
  </si>
  <si>
    <t>Время с</t>
  </si>
  <si>
    <t>Время до</t>
  </si>
  <si>
    <t>Итого</t>
  </si>
  <si>
    <t>Какой результат?</t>
  </si>
  <si>
    <t>Итого часов за день</t>
  </si>
  <si>
    <t>Установочная конференция</t>
  </si>
  <si>
    <t>Заполнен дневник, понятен процесс УП</t>
  </si>
  <si>
    <t>Дата</t>
  </si>
  <si>
    <t>Работа в ауд. Краткий рассказ о практике</t>
  </si>
  <si>
    <t>Зарегистрировался на GitHub, выбрал тему проекта, составил дальнейший план на практику</t>
  </si>
  <si>
    <t>Прочитал документацию по Github и Markdown, изучил работу с ветками, создал репозиторий с лабораторными работами за 1 семестр</t>
  </si>
  <si>
    <t>Создал репозиторий за 2 семестр</t>
  </si>
  <si>
    <t xml:space="preserve">Работа в ауд. </t>
  </si>
  <si>
    <t>Продолжил прохождение курса «Контроль версий с Git» от epam. Начал переделывать лабораторную 5 с использованием графического дизайнера</t>
  </si>
  <si>
    <t>Выполнил отчет за первые дни практики. Зарегистрировался и начал прохождение курса «Контроль версий с Git» от epam</t>
  </si>
  <si>
    <t>Работа вне аудитории.</t>
  </si>
  <si>
    <t>Работа вне аудитории. Курс по GitHub, создание репозиториев</t>
  </si>
  <si>
    <t>Начал разработку основной структуры программы задания 1, создал классы и описал поля</t>
  </si>
  <si>
    <t>Реализовал чтение и запись в файл</t>
  </si>
  <si>
    <t>Реализовал отображение через ListWidget и TableWidget</t>
  </si>
  <si>
    <t>Добавил обработку ввода с интерфейсом, реализовал отображение через ListView</t>
  </si>
  <si>
    <t xml:space="preserve">Добавил стандартную и индивидуальную сортировки элементов. </t>
  </si>
  <si>
    <t>Написал базовые юнит-тесты для конструктора, сравнения и доступа к полям индивидуальной структуры</t>
  </si>
  <si>
    <t xml:space="preserve">Создал тест-класс для QLineEdit. Подключил его через Cmake. Написал базовые юнит-тесты для редактирования строки и проверки на числовой ввод </t>
  </si>
  <si>
    <t>Провёл итоговое тестирование проекта, проверил работу всех юнит-тестов. Создал репозиторий для УП</t>
  </si>
  <si>
    <t>Заполнение таблицы учета времени УП</t>
  </si>
  <si>
    <t>Заполнение таблицы</t>
  </si>
  <si>
    <t>Узнал про необходимости вести таблицу учета времени работы и подробности про оформление отчета</t>
  </si>
  <si>
    <t>Продолжил делать дизайн в лабораторной 5</t>
  </si>
  <si>
    <t>Закончил переделывать лабораторную. Заполнил отчет за 02.07.2025.</t>
  </si>
  <si>
    <t>Экскурсия в WhiteSnake</t>
  </si>
  <si>
    <t xml:space="preserve">Побывал в офисе современной IT, ознакомился с условиями работы, узнал про стажировку в данной компании </t>
  </si>
  <si>
    <t>Редактирование таблицы учета времени УП. Начало подготовки отчета</t>
  </si>
  <si>
    <t>Редактирование отчета</t>
  </si>
  <si>
    <t>Финальное редактирование отчета</t>
  </si>
  <si>
    <t>Ознакомился с теорией юнит-тестирования для задания 2. Создал тест-класс структуры. Подключил его через Cmake.</t>
  </si>
  <si>
    <t>Реализовал обработку нажатий клавиш на клавиатуре и нажатия правой клавиши мыши. Синхронизировал отображение данных в разных таблицах</t>
  </si>
  <si>
    <t>Разобрался с созданием новых окон, передачей данных между ними.  Реализовал удаление и добовление(с помощью нового окна), как в списке/таблице, так и в файле</t>
  </si>
  <si>
    <t>Сумма:48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</si>
</sst>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:ss"/>
    <numFmt numFmtId="165" formatCode="[$]hh:mm;@" x16r2:formatCode16="[$-ru-BY,1]hh:mm;@"/>
    <numFmt numFmtId="166" formatCode="[$-F400]h:mm:ss\ AM/PM"/>
  </numFmts>
  <fonts count="6" x14ac:knownFonts="1">
    <font>
      <sz val="10"/>
      <color rgb="FF000000"/>
      <name val="Arial"/>
      <scheme val="minor"/>
    </font>
    <font>
      <b/>
      <sz val="10"/>
      <color theme="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charset val="204"/>
      <scheme val="minor"/>
    </font>
    <font>
      <b/>
      <sz val="10"/>
      <color theme="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rgb="FF00FF00"/>
      </patternFill>
    </fill>
    <fill>
      <patternFill patternType="solid">
        <fgColor theme="9" tint="0.59999389629810485"/>
        <bgColor rgb="FF00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65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4" fontId="0" fillId="4" borderId="1" xfId="0" applyNumberFormat="1" applyFill="1" applyBorder="1" applyAlignment="1">
      <alignment wrapText="1"/>
    </xf>
    <xf numFmtId="20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14" fontId="2" fillId="3" borderId="1" xfId="0" applyNumberFormat="1" applyFont="1" applyFill="1" applyBorder="1" applyAlignment="1">
      <alignment wrapText="1"/>
    </xf>
    <xf numFmtId="14" fontId="0" fillId="3" borderId="1" xfId="0" applyNumberFormat="1" applyFill="1" applyBorder="1" applyAlignment="1">
      <alignment wrapText="1"/>
    </xf>
    <xf numFmtId="20" fontId="0" fillId="0" borderId="0" xfId="0" applyNumberForma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164" fontId="2" fillId="5" borderId="6" xfId="0" applyNumberFormat="1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4" borderId="5" xfId="0" applyFill="1" applyBorder="1" applyAlignment="1">
      <alignment wrapText="1"/>
    </xf>
    <xf numFmtId="164" fontId="2" fillId="6" borderId="6" xfId="0" applyNumberFormat="1" applyFont="1" applyFill="1" applyBorder="1" applyAlignment="1">
      <alignment wrapText="1"/>
    </xf>
    <xf numFmtId="0" fontId="0" fillId="0" borderId="8" xfId="0" applyBorder="1" applyAlignment="1">
      <alignment wrapText="1"/>
    </xf>
    <xf numFmtId="20" fontId="0" fillId="0" borderId="8" xfId="0" applyNumberFormat="1" applyBorder="1" applyAlignment="1">
      <alignment wrapText="1"/>
    </xf>
    <xf numFmtId="166" fontId="0" fillId="0" borderId="0" xfId="0" applyNumberFormat="1" applyAlignment="1">
      <alignment wrapText="1"/>
    </xf>
    <xf numFmtId="0" fontId="2" fillId="3" borderId="7" xfId="0" applyFont="1" applyFill="1" applyBorder="1" applyAlignment="1">
      <alignment wrapText="1"/>
    </xf>
    <xf numFmtId="0" fontId="5" fillId="0" borderId="8" xfId="0" applyFont="1" applyBorder="1" applyAlignment="1">
      <alignment wrapText="1"/>
    </xf>
    <xf numFmtId="14" fontId="2" fillId="3" borderId="8" xfId="0" applyNumberFormat="1" applyFont="1" applyFill="1" applyBorder="1" applyAlignment="1">
      <alignment wrapText="1"/>
    </xf>
    <xf numFmtId="164" fontId="2" fillId="5" borderId="9" xfId="0" applyNumberFormat="1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35"/>
  <sheetViews>
    <sheetView tabSelected="1" topLeftCell="A27" zoomScaleNormal="100" workbookViewId="0">
      <selection activeCell="H34" sqref="H34"/>
    </sheetView>
  </sheetViews>
  <sheetFormatPr defaultColWidth="12.6640625" defaultRowHeight="12.75" x14ac:dyDescent="0.35"/>
  <cols>
    <col min="1" max="1" width="7.33203125" style="9" customWidth="1"/>
    <col min="2" max="2" width="19.46484375" style="9" customWidth="1"/>
    <col min="3" max="3" width="10.1328125" style="9" customWidth="1"/>
    <col min="4" max="4" width="8.86328125" style="9" customWidth="1"/>
    <col min="5" max="5" width="10" style="9" customWidth="1"/>
    <col min="6" max="6" width="15.1328125" style="9" customWidth="1"/>
    <col min="7" max="7" width="21.6640625" style="9" customWidth="1"/>
    <col min="8" max="8" width="17.19921875" style="9" customWidth="1"/>
    <col min="9" max="9" width="12.6640625" style="9"/>
    <col min="10" max="10" width="36.796875" style="9" customWidth="1"/>
    <col min="11" max="16384" width="12.6640625" style="9"/>
  </cols>
  <sheetData>
    <row r="1" spans="1:8" ht="26.25" x14ac:dyDescent="0.4">
      <c r="A1" s="13" t="s">
        <v>0</v>
      </c>
      <c r="B1" s="14" t="s">
        <v>1</v>
      </c>
      <c r="C1" s="15" t="s">
        <v>9</v>
      </c>
      <c r="D1" s="14" t="s">
        <v>2</v>
      </c>
      <c r="E1" s="14" t="s">
        <v>3</v>
      </c>
      <c r="F1" s="14" t="s">
        <v>4</v>
      </c>
      <c r="G1" s="14" t="s">
        <v>5</v>
      </c>
      <c r="H1" s="16" t="s">
        <v>6</v>
      </c>
    </row>
    <row r="2" spans="1:8" ht="63.75" x14ac:dyDescent="0.35">
      <c r="A2" s="17">
        <v>1</v>
      </c>
      <c r="B2" s="6" t="s">
        <v>10</v>
      </c>
      <c r="C2" s="11">
        <v>45838</v>
      </c>
      <c r="D2" s="1">
        <v>0.46875</v>
      </c>
      <c r="E2" s="1">
        <v>0.59722222222222221</v>
      </c>
      <c r="F2" s="2">
        <f t="shared" ref="F2:F7" si="0">E2-D2</f>
        <v>0.12847222222222221</v>
      </c>
      <c r="G2" s="3" t="s">
        <v>11</v>
      </c>
      <c r="H2" s="18"/>
    </row>
    <row r="3" spans="1:8" ht="89.25" x14ac:dyDescent="0.35">
      <c r="A3" s="17">
        <v>2</v>
      </c>
      <c r="B3" s="4" t="s">
        <v>18</v>
      </c>
      <c r="C3" s="11">
        <v>45838</v>
      </c>
      <c r="D3" s="1">
        <v>0.75347222222222221</v>
      </c>
      <c r="E3" s="1">
        <v>0.875</v>
      </c>
      <c r="F3" s="2">
        <f t="shared" si="0"/>
        <v>0.12152777777777779</v>
      </c>
      <c r="G3" s="4" t="s">
        <v>12</v>
      </c>
      <c r="H3" s="19">
        <f>SUM(F2:F3)</f>
        <v>0.25</v>
      </c>
    </row>
    <row r="4" spans="1:8" ht="25.5" x14ac:dyDescent="0.35">
      <c r="A4" s="20">
        <v>1</v>
      </c>
      <c r="B4" s="3" t="s">
        <v>7</v>
      </c>
      <c r="C4" s="7">
        <v>45839</v>
      </c>
      <c r="D4" s="1">
        <v>0.46875</v>
      </c>
      <c r="E4" s="1">
        <v>0.52430555555555558</v>
      </c>
      <c r="F4" s="2">
        <f t="shared" si="0"/>
        <v>5.555555555555558E-2</v>
      </c>
      <c r="G4" s="3" t="s">
        <v>8</v>
      </c>
      <c r="H4" s="21"/>
    </row>
    <row r="5" spans="1:8" ht="25.5" x14ac:dyDescent="0.35">
      <c r="A5" s="22">
        <v>2</v>
      </c>
      <c r="B5" s="5" t="s">
        <v>17</v>
      </c>
      <c r="C5" s="7">
        <v>45839</v>
      </c>
      <c r="D5" s="8">
        <v>0.52430555555555558</v>
      </c>
      <c r="E5" s="8">
        <v>0.59722222222222221</v>
      </c>
      <c r="F5" s="8">
        <f t="shared" si="0"/>
        <v>7.291666666666663E-2</v>
      </c>
      <c r="G5" s="5" t="s">
        <v>13</v>
      </c>
      <c r="H5" s="21"/>
    </row>
    <row r="6" spans="1:8" ht="76.5" x14ac:dyDescent="0.35">
      <c r="A6" s="22">
        <v>3</v>
      </c>
      <c r="B6" s="5" t="s">
        <v>14</v>
      </c>
      <c r="C6" s="7">
        <v>45839</v>
      </c>
      <c r="D6" s="8">
        <v>0.60416666666666663</v>
      </c>
      <c r="E6" s="8">
        <v>0.72222222222222221</v>
      </c>
      <c r="F6" s="8">
        <f t="shared" si="0"/>
        <v>0.11805555555555558</v>
      </c>
      <c r="G6" s="5" t="s">
        <v>16</v>
      </c>
      <c r="H6" s="21"/>
    </row>
    <row r="7" spans="1:8" ht="114.75" x14ac:dyDescent="0.35">
      <c r="A7" s="22">
        <v>4</v>
      </c>
      <c r="B7" s="5" t="s">
        <v>17</v>
      </c>
      <c r="C7" s="7">
        <v>45839</v>
      </c>
      <c r="D7" s="8">
        <v>0.8125</v>
      </c>
      <c r="E7" s="8">
        <v>0.89930555555555558</v>
      </c>
      <c r="F7" s="8">
        <f t="shared" si="0"/>
        <v>8.680555555555558E-2</v>
      </c>
      <c r="G7" s="5" t="s">
        <v>15</v>
      </c>
      <c r="H7" s="23">
        <f>SUM(F4:F7)</f>
        <v>0.33333333333333337</v>
      </c>
    </row>
    <row r="8" spans="1:8" ht="38.25" x14ac:dyDescent="0.35">
      <c r="A8" s="17">
        <v>1</v>
      </c>
      <c r="B8" s="5" t="s">
        <v>14</v>
      </c>
      <c r="C8" s="10">
        <v>45840</v>
      </c>
      <c r="D8" s="8">
        <v>0.60416666666666663</v>
      </c>
      <c r="E8" s="8">
        <v>0.72222222222222221</v>
      </c>
      <c r="F8" s="8">
        <f t="shared" ref="F8:F32" si="1">E8-D8</f>
        <v>0.11805555555555558</v>
      </c>
      <c r="G8" s="5" t="s">
        <v>30</v>
      </c>
      <c r="H8" s="21"/>
    </row>
    <row r="9" spans="1:8" ht="51" x14ac:dyDescent="0.35">
      <c r="A9" s="17">
        <v>2</v>
      </c>
      <c r="B9" s="5" t="s">
        <v>17</v>
      </c>
      <c r="C9" s="10">
        <v>45840</v>
      </c>
      <c r="D9" s="1">
        <v>0.75</v>
      </c>
      <c r="E9" s="1">
        <v>0.79861111111111116</v>
      </c>
      <c r="F9" s="8">
        <f t="shared" si="1"/>
        <v>4.861111111111116E-2</v>
      </c>
      <c r="G9" s="5" t="s">
        <v>31</v>
      </c>
      <c r="H9" s="19">
        <f>SUM(F8:F9)</f>
        <v>0.16666666666666674</v>
      </c>
    </row>
    <row r="10" spans="1:8" ht="63.75" x14ac:dyDescent="0.35">
      <c r="A10" s="20">
        <v>1</v>
      </c>
      <c r="B10" s="5" t="s">
        <v>17</v>
      </c>
      <c r="C10" s="7">
        <v>45841</v>
      </c>
      <c r="D10" s="8">
        <v>0.41666666666666669</v>
      </c>
      <c r="E10" s="8">
        <v>0.45833333333333331</v>
      </c>
      <c r="F10" s="8">
        <f t="shared" si="1"/>
        <v>4.166666666666663E-2</v>
      </c>
      <c r="G10" s="6" t="s">
        <v>19</v>
      </c>
      <c r="H10" s="21"/>
    </row>
    <row r="11" spans="1:8" ht="25.5" x14ac:dyDescent="0.35">
      <c r="A11" s="20">
        <v>2</v>
      </c>
      <c r="B11" s="5" t="s">
        <v>17</v>
      </c>
      <c r="C11" s="7">
        <v>45841</v>
      </c>
      <c r="D11" s="1">
        <v>0.75</v>
      </c>
      <c r="E11" s="1">
        <v>0.79166666666666663</v>
      </c>
      <c r="F11" s="8">
        <f t="shared" si="1"/>
        <v>4.166666666666663E-2</v>
      </c>
      <c r="G11" s="6" t="s">
        <v>20</v>
      </c>
      <c r="H11" s="23">
        <f>SUM(F10:F11)</f>
        <v>8.3333333333333259E-2</v>
      </c>
    </row>
    <row r="12" spans="1:8" ht="63.75" x14ac:dyDescent="0.35">
      <c r="A12" s="17">
        <v>1</v>
      </c>
      <c r="B12" s="5" t="s">
        <v>17</v>
      </c>
      <c r="C12" s="10">
        <v>45842</v>
      </c>
      <c r="D12" s="8">
        <v>0.41666666666666669</v>
      </c>
      <c r="E12" s="8">
        <v>0.45833333333333331</v>
      </c>
      <c r="F12" s="8">
        <f t="shared" si="1"/>
        <v>4.166666666666663E-2</v>
      </c>
      <c r="G12" s="6" t="s">
        <v>22</v>
      </c>
      <c r="H12" s="21"/>
    </row>
    <row r="13" spans="1:8" ht="63.75" x14ac:dyDescent="0.35">
      <c r="A13" s="17">
        <v>2</v>
      </c>
      <c r="B13" s="5" t="s">
        <v>14</v>
      </c>
      <c r="C13" s="10">
        <v>45842</v>
      </c>
      <c r="D13" s="8">
        <v>0.60416666666666663</v>
      </c>
      <c r="E13" s="8">
        <v>0.72222222222222221</v>
      </c>
      <c r="F13" s="8">
        <f t="shared" si="1"/>
        <v>0.11805555555555558</v>
      </c>
      <c r="G13" s="6" t="s">
        <v>29</v>
      </c>
      <c r="H13" s="21"/>
    </row>
    <row r="14" spans="1:8" ht="25.5" x14ac:dyDescent="0.35">
      <c r="A14" s="17">
        <v>3</v>
      </c>
      <c r="B14" s="6" t="s">
        <v>28</v>
      </c>
      <c r="C14" s="10">
        <v>45842</v>
      </c>
      <c r="D14" s="8">
        <v>0.875</v>
      </c>
      <c r="E14" s="8">
        <v>0.88194444444444442</v>
      </c>
      <c r="F14" s="8">
        <f>E14-D14</f>
        <v>6.9444444444444198E-3</v>
      </c>
      <c r="G14" s="6" t="s">
        <v>27</v>
      </c>
      <c r="H14" s="19">
        <f>SUM(F12:F13:F14)</f>
        <v>0.16666666666666663</v>
      </c>
    </row>
    <row r="15" spans="1:8" ht="51" x14ac:dyDescent="0.35">
      <c r="A15" s="20">
        <v>1</v>
      </c>
      <c r="B15" s="5" t="s">
        <v>17</v>
      </c>
      <c r="C15" s="7">
        <v>45843</v>
      </c>
      <c r="D15" s="8">
        <v>0.4236111111111111</v>
      </c>
      <c r="E15" s="8">
        <v>0.45833333333333331</v>
      </c>
      <c r="F15" s="8">
        <f t="shared" si="1"/>
        <v>3.472222222222221E-2</v>
      </c>
      <c r="G15" s="6" t="s">
        <v>21</v>
      </c>
      <c r="H15" s="21"/>
    </row>
    <row r="16" spans="1:8" ht="38.25" x14ac:dyDescent="0.35">
      <c r="A16" s="20">
        <v>2</v>
      </c>
      <c r="B16" s="5" t="s">
        <v>17</v>
      </c>
      <c r="C16" s="7">
        <v>45843</v>
      </c>
      <c r="D16" s="1">
        <v>0.75</v>
      </c>
      <c r="E16" s="1">
        <v>0.83333333333333337</v>
      </c>
      <c r="F16" s="8">
        <f t="shared" ref="F16" si="2">E16-D16</f>
        <v>8.333333333333337E-2</v>
      </c>
      <c r="G16" s="6" t="s">
        <v>23</v>
      </c>
      <c r="H16" s="21"/>
    </row>
    <row r="17" spans="1:8" ht="25.5" x14ac:dyDescent="0.35">
      <c r="A17" s="20">
        <v>3</v>
      </c>
      <c r="B17" s="6" t="s">
        <v>28</v>
      </c>
      <c r="C17" s="7">
        <v>45843</v>
      </c>
      <c r="D17" s="8">
        <v>0.875</v>
      </c>
      <c r="E17" s="8">
        <v>0.88194444444444442</v>
      </c>
      <c r="F17" s="8">
        <f>E17-D17</f>
        <v>6.9444444444444198E-3</v>
      </c>
      <c r="G17" s="6" t="s">
        <v>27</v>
      </c>
      <c r="H17" s="23">
        <f>SUM(F15:F16:F17)</f>
        <v>0.125</v>
      </c>
    </row>
    <row r="18" spans="1:8" ht="114.75" x14ac:dyDescent="0.35">
      <c r="A18" s="20">
        <v>1</v>
      </c>
      <c r="B18" s="5" t="s">
        <v>17</v>
      </c>
      <c r="C18" s="7">
        <v>45845</v>
      </c>
      <c r="D18" s="8">
        <v>0.4236111111111111</v>
      </c>
      <c r="E18" s="8">
        <v>0.5</v>
      </c>
      <c r="F18" s="8">
        <f t="shared" si="1"/>
        <v>7.6388888888888895E-2</v>
      </c>
      <c r="G18" s="6" t="s">
        <v>39</v>
      </c>
      <c r="H18" s="21"/>
    </row>
    <row r="19" spans="1:8" ht="89.25" x14ac:dyDescent="0.35">
      <c r="A19" s="20">
        <v>2</v>
      </c>
      <c r="B19" s="5" t="s">
        <v>17</v>
      </c>
      <c r="C19" s="7">
        <v>45845</v>
      </c>
      <c r="D19" s="1">
        <v>0.75</v>
      </c>
      <c r="E19" s="1">
        <v>0.79166666666666663</v>
      </c>
      <c r="F19" s="8">
        <f t="shared" si="1"/>
        <v>4.166666666666663E-2</v>
      </c>
      <c r="G19" s="6" t="s">
        <v>38</v>
      </c>
      <c r="H19" s="21"/>
    </row>
    <row r="20" spans="1:8" ht="25.5" x14ac:dyDescent="0.35">
      <c r="A20" s="20">
        <v>3</v>
      </c>
      <c r="B20" s="6" t="s">
        <v>28</v>
      </c>
      <c r="C20" s="7">
        <v>45845</v>
      </c>
      <c r="D20" s="8">
        <v>0.875</v>
      </c>
      <c r="E20" s="8">
        <v>0.88194444444444442</v>
      </c>
      <c r="F20" s="8">
        <f>E20-D20</f>
        <v>6.9444444444444198E-3</v>
      </c>
      <c r="G20" s="6" t="s">
        <v>27</v>
      </c>
      <c r="H20" s="23">
        <f>SUM(F18:F19:F20)</f>
        <v>0.12499999999999994</v>
      </c>
    </row>
    <row r="21" spans="1:8" ht="76.5" x14ac:dyDescent="0.35">
      <c r="A21" s="17">
        <v>1</v>
      </c>
      <c r="B21" s="5" t="s">
        <v>17</v>
      </c>
      <c r="C21" s="10">
        <v>45846</v>
      </c>
      <c r="D21" s="8">
        <v>0.41666666666666669</v>
      </c>
      <c r="E21" s="8">
        <v>0.53472222222222221</v>
      </c>
      <c r="F21" s="8">
        <f t="shared" si="1"/>
        <v>0.11805555555555552</v>
      </c>
      <c r="G21" s="6" t="s">
        <v>37</v>
      </c>
      <c r="H21" s="21"/>
    </row>
    <row r="22" spans="1:8" ht="25.5" x14ac:dyDescent="0.35">
      <c r="A22" s="17">
        <v>2</v>
      </c>
      <c r="B22" s="6" t="s">
        <v>28</v>
      </c>
      <c r="C22" s="10">
        <v>45846</v>
      </c>
      <c r="D22" s="8">
        <v>0.875</v>
      </c>
      <c r="E22" s="8">
        <v>0.88194444444444442</v>
      </c>
      <c r="F22" s="8">
        <f>E22-D22</f>
        <v>6.9444444444444198E-3</v>
      </c>
      <c r="G22" s="6" t="s">
        <v>27</v>
      </c>
      <c r="H22" s="19">
        <f>SUM(F21:F22)</f>
        <v>0.12499999999999994</v>
      </c>
    </row>
    <row r="23" spans="1:8" ht="63.75" x14ac:dyDescent="0.35">
      <c r="A23" s="20">
        <v>1</v>
      </c>
      <c r="B23" s="5" t="s">
        <v>17</v>
      </c>
      <c r="C23" s="7">
        <v>45847</v>
      </c>
      <c r="D23" s="8">
        <v>0.41666666666666669</v>
      </c>
      <c r="E23" s="8">
        <v>0.45833333333333331</v>
      </c>
      <c r="F23" s="8">
        <f>E23-D23</f>
        <v>4.166666666666663E-2</v>
      </c>
      <c r="G23" s="6" t="s">
        <v>24</v>
      </c>
      <c r="H23" s="21"/>
    </row>
    <row r="24" spans="1:8" ht="102" x14ac:dyDescent="0.35">
      <c r="A24" s="20">
        <v>2</v>
      </c>
      <c r="B24" s="5" t="s">
        <v>14</v>
      </c>
      <c r="C24" s="7">
        <v>45847</v>
      </c>
      <c r="D24" s="8">
        <v>0.60416666666666663</v>
      </c>
      <c r="E24" s="8">
        <v>0.72222222222222221</v>
      </c>
      <c r="F24" s="8">
        <f t="shared" si="1"/>
        <v>0.11805555555555558</v>
      </c>
      <c r="G24" s="6" t="s">
        <v>25</v>
      </c>
      <c r="H24" s="21"/>
    </row>
    <row r="25" spans="1:8" ht="25.5" x14ac:dyDescent="0.35">
      <c r="A25" s="20">
        <v>3</v>
      </c>
      <c r="B25" s="6" t="s">
        <v>28</v>
      </c>
      <c r="C25" s="7">
        <v>45847</v>
      </c>
      <c r="D25" s="8">
        <v>0.875</v>
      </c>
      <c r="E25" s="8">
        <v>0.88194444444444442</v>
      </c>
      <c r="F25" s="8">
        <f>E25-D25</f>
        <v>6.9444444444444198E-3</v>
      </c>
      <c r="G25" s="6" t="s">
        <v>27</v>
      </c>
      <c r="H25" s="23">
        <f>SUM(F23:F24:F25)</f>
        <v>0.16666666666666663</v>
      </c>
    </row>
    <row r="26" spans="1:8" ht="76.5" x14ac:dyDescent="0.35">
      <c r="A26" s="17">
        <v>1</v>
      </c>
      <c r="B26" s="6" t="s">
        <v>32</v>
      </c>
      <c r="C26" s="10">
        <v>45848</v>
      </c>
      <c r="D26" s="8">
        <v>0.60416666666666663</v>
      </c>
      <c r="E26" s="8">
        <v>0.72222222222222221</v>
      </c>
      <c r="F26" s="8">
        <f t="shared" si="1"/>
        <v>0.11805555555555558</v>
      </c>
      <c r="G26" s="6" t="s">
        <v>33</v>
      </c>
      <c r="H26" s="21"/>
    </row>
    <row r="27" spans="1:8" ht="63.75" x14ac:dyDescent="0.35">
      <c r="A27" s="17">
        <v>2</v>
      </c>
      <c r="B27" s="5" t="s">
        <v>17</v>
      </c>
      <c r="C27" s="10">
        <v>45848</v>
      </c>
      <c r="D27" s="1">
        <v>0.75</v>
      </c>
      <c r="E27" s="1">
        <v>0.79166666666666663</v>
      </c>
      <c r="F27" s="8">
        <f t="shared" si="1"/>
        <v>4.166666666666663E-2</v>
      </c>
      <c r="G27" s="6" t="s">
        <v>26</v>
      </c>
      <c r="H27" s="21"/>
    </row>
    <row r="28" spans="1:8" ht="25.5" x14ac:dyDescent="0.35">
      <c r="A28" s="17">
        <v>3</v>
      </c>
      <c r="B28" s="6" t="s">
        <v>28</v>
      </c>
      <c r="C28" s="10">
        <v>45848</v>
      </c>
      <c r="D28" s="8">
        <v>0.88194444444444442</v>
      </c>
      <c r="E28" s="8">
        <v>0.88888888888888884</v>
      </c>
      <c r="F28" s="8">
        <f t="shared" si="1"/>
        <v>6.9444444444444198E-3</v>
      </c>
      <c r="G28" s="6" t="s">
        <v>27</v>
      </c>
      <c r="H28" s="19">
        <f>SUM(F26:F27:F28)</f>
        <v>0.16666666666666663</v>
      </c>
    </row>
    <row r="29" spans="1:8" ht="51" x14ac:dyDescent="0.35">
      <c r="A29" s="20">
        <v>1</v>
      </c>
      <c r="B29" s="5" t="s">
        <v>17</v>
      </c>
      <c r="C29" s="7">
        <v>45849</v>
      </c>
      <c r="D29" s="8">
        <v>0.41666666666666669</v>
      </c>
      <c r="E29" s="8">
        <v>0.5</v>
      </c>
      <c r="F29" s="8">
        <f t="shared" si="1"/>
        <v>8.3333333333333315E-2</v>
      </c>
      <c r="G29" s="6" t="s">
        <v>34</v>
      </c>
      <c r="H29" s="21"/>
    </row>
    <row r="30" spans="1:8" x14ac:dyDescent="0.35">
      <c r="A30" s="20">
        <v>2</v>
      </c>
      <c r="B30" s="5" t="s">
        <v>14</v>
      </c>
      <c r="C30" s="7">
        <v>45849</v>
      </c>
      <c r="D30" s="8">
        <v>0.60416666666666663</v>
      </c>
      <c r="E30" s="8">
        <v>0.72222222222222221</v>
      </c>
      <c r="F30" s="8">
        <f t="shared" si="1"/>
        <v>0.11805555555555558</v>
      </c>
      <c r="G30" s="6" t="s">
        <v>35</v>
      </c>
      <c r="H30" s="21"/>
    </row>
    <row r="31" spans="1:8" ht="25.5" x14ac:dyDescent="0.35">
      <c r="A31" s="20">
        <v>3</v>
      </c>
      <c r="B31" s="6" t="s">
        <v>28</v>
      </c>
      <c r="C31" s="7">
        <v>45849</v>
      </c>
      <c r="D31" s="8">
        <v>0.88194444444444442</v>
      </c>
      <c r="E31" s="8">
        <v>0.88888888888888884</v>
      </c>
      <c r="F31" s="8">
        <f>E31-D31</f>
        <v>6.9444444444444198E-3</v>
      </c>
      <c r="G31" s="6" t="s">
        <v>27</v>
      </c>
      <c r="H31" s="23">
        <f>SUM(F29:F30:F31)</f>
        <v>0.20833333333333331</v>
      </c>
    </row>
    <row r="32" spans="1:8" ht="25.9" thickBot="1" x14ac:dyDescent="0.4">
      <c r="A32" s="27">
        <v>1</v>
      </c>
      <c r="B32" s="28" t="s">
        <v>17</v>
      </c>
      <c r="C32" s="29">
        <v>45850</v>
      </c>
      <c r="D32" s="25">
        <v>0.41666666666666669</v>
      </c>
      <c r="E32" s="25">
        <v>0.5</v>
      </c>
      <c r="F32" s="25">
        <f t="shared" si="1"/>
        <v>8.3333333333333315E-2</v>
      </c>
      <c r="G32" s="24" t="s">
        <v>36</v>
      </c>
      <c r="H32" s="30">
        <f>SUM(F32)</f>
        <v>8.3333333333333315E-2</v>
      </c>
    </row>
    <row r="33" spans="6:10" x14ac:dyDescent="0.35">
      <c r="F33" s="12"/>
      <c r="H33" s="9" t="s">
        <v>40</v>
      </c>
    </row>
    <row r="34" spans="6:10" x14ac:dyDescent="0.35">
      <c r="F34" s="12"/>
    </row>
    <row r="35" spans="6:10" x14ac:dyDescent="0.35">
      <c r="J35" s="2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УП TaskManager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DENIS KOROL</cp:lastModifiedBy>
  <dcterms:created xsi:type="dcterms:W3CDTF">2024-06-24T13:56:22Z</dcterms:created>
  <dcterms:modified xsi:type="dcterms:W3CDTF">2025-07-11T12:09:04Z</dcterms:modified>
</cp:coreProperties>
</file>